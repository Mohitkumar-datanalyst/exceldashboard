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52397ca098b5f37/Desktop/marvelous31/"/>
    </mc:Choice>
  </mc:AlternateContent>
  <xr:revisionPtr revIDLastSave="0" documentId="8_{DA0F70A2-DAFD-4989-BDA5-9D70B902A835}" xr6:coauthVersionLast="47" xr6:coauthVersionMax="47" xr10:uidLastSave="{00000000-0000-0000-0000-000000000000}"/>
  <bookViews>
    <workbookView xWindow="-108" yWindow="-108" windowWidth="23256" windowHeight="13896" xr2:uid="{4CF36C4E-B639-4672-ADCF-23FDDAA2100E}"/>
  </bookViews>
  <sheets>
    <sheet name="Data_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" i="1" l="1"/>
  <c r="O18" i="1"/>
  <c r="N18" i="1"/>
  <c r="M18" i="1"/>
  <c r="P17" i="1"/>
  <c r="O17" i="1"/>
  <c r="N17" i="1"/>
  <c r="M17" i="1"/>
  <c r="P16" i="1"/>
  <c r="O16" i="1"/>
  <c r="N16" i="1"/>
  <c r="M16" i="1"/>
  <c r="P15" i="1"/>
  <c r="O15" i="1"/>
  <c r="N15" i="1"/>
  <c r="M15" i="1"/>
  <c r="P14" i="1"/>
  <c r="O14" i="1"/>
  <c r="N14" i="1"/>
  <c r="M14" i="1"/>
  <c r="P13" i="1"/>
  <c r="O13" i="1"/>
  <c r="N13" i="1"/>
  <c r="M13" i="1"/>
  <c r="P12" i="1"/>
  <c r="O12" i="1"/>
  <c r="N12" i="1"/>
  <c r="M12" i="1"/>
  <c r="P11" i="1"/>
  <c r="O11" i="1"/>
  <c r="N11" i="1"/>
  <c r="M11" i="1"/>
  <c r="P10" i="1"/>
  <c r="O10" i="1"/>
  <c r="N10" i="1"/>
  <c r="M10" i="1"/>
  <c r="P9" i="1"/>
  <c r="O9" i="1"/>
  <c r="N9" i="1"/>
  <c r="M9" i="1"/>
  <c r="P8" i="1"/>
  <c r="O8" i="1"/>
  <c r="N8" i="1"/>
  <c r="M8" i="1"/>
  <c r="P7" i="1"/>
  <c r="O7" i="1"/>
  <c r="N7" i="1"/>
  <c r="M7" i="1"/>
  <c r="P6" i="1"/>
  <c r="O6" i="1"/>
  <c r="N6" i="1"/>
  <c r="M6" i="1"/>
  <c r="P5" i="1"/>
  <c r="O5" i="1"/>
  <c r="N5" i="1"/>
  <c r="M5" i="1"/>
  <c r="P4" i="1"/>
  <c r="O4" i="1"/>
  <c r="N4" i="1"/>
  <c r="M4" i="1"/>
  <c r="P3" i="1"/>
  <c r="O3" i="1"/>
  <c r="N3" i="1"/>
  <c r="M3" i="1"/>
  <c r="P2" i="1"/>
  <c r="O2" i="1"/>
  <c r="N2" i="1"/>
  <c r="M2" i="1"/>
</calcChain>
</file>

<file path=xl/sharedStrings.xml><?xml version="1.0" encoding="utf-8"?>
<sst xmlns="http://schemas.openxmlformats.org/spreadsheetml/2006/main" count="169" uniqueCount="62">
  <si>
    <t>Candidate ID</t>
  </si>
  <si>
    <t>Specialist ID</t>
  </si>
  <si>
    <t>Lead Date</t>
  </si>
  <si>
    <t>Offer Date</t>
  </si>
  <si>
    <t>Candidate Name</t>
  </si>
  <si>
    <t>Field / Cohort</t>
  </si>
  <si>
    <t>Category</t>
  </si>
  <si>
    <t>Graduate Count</t>
  </si>
  <si>
    <t>Specialist</t>
  </si>
  <si>
    <t>Status</t>
  </si>
  <si>
    <t>Placement?</t>
  </si>
  <si>
    <t>Retained 90 Days?</t>
  </si>
  <si>
    <t>Placement Flag</t>
  </si>
  <si>
    <t>Retension Flag</t>
  </si>
  <si>
    <t>Cycle Time</t>
  </si>
  <si>
    <t>Cohort Auto</t>
  </si>
  <si>
    <t>C001</t>
  </si>
  <si>
    <t>SP001</t>
  </si>
  <si>
    <t>Candidate 1</t>
  </si>
  <si>
    <t>Carpentry</t>
  </si>
  <si>
    <t>Maintenance Technician</t>
  </si>
  <si>
    <t>Specialist A</t>
  </si>
  <si>
    <t>Lead</t>
  </si>
  <si>
    <t>Yes</t>
  </si>
  <si>
    <t>C002</t>
  </si>
  <si>
    <t>SP002</t>
  </si>
  <si>
    <t>Candidate 2</t>
  </si>
  <si>
    <t>IT_Specialist</t>
  </si>
  <si>
    <t>Computer Repair Technician</t>
  </si>
  <si>
    <t>Specialist B</t>
  </si>
  <si>
    <t>Placement</t>
  </si>
  <si>
    <t>No</t>
  </si>
  <si>
    <t>C003</t>
  </si>
  <si>
    <t>Candidate 3</t>
  </si>
  <si>
    <t>Matching</t>
  </si>
  <si>
    <t>C004</t>
  </si>
  <si>
    <t>SP003</t>
  </si>
  <si>
    <t>Candidate 4</t>
  </si>
  <si>
    <t>Trimmer/Trim Carpentry</t>
  </si>
  <si>
    <t>Specialist C</t>
  </si>
  <si>
    <t>Retention</t>
  </si>
  <si>
    <t>C005</t>
  </si>
  <si>
    <t>Candidate 5</t>
  </si>
  <si>
    <t>Medical_Administrative_Assistant</t>
  </si>
  <si>
    <t>Clinic Appointment Coordinator</t>
  </si>
  <si>
    <t>Offer</t>
  </si>
  <si>
    <t>C006</t>
  </si>
  <si>
    <t>Candidate 6</t>
  </si>
  <si>
    <t>Financial_Services</t>
  </si>
  <si>
    <t>Bank Teller</t>
  </si>
  <si>
    <t>C007</t>
  </si>
  <si>
    <t>Candidate 7</t>
  </si>
  <si>
    <t>Electrician</t>
  </si>
  <si>
    <t>Low Voltage Technician</t>
  </si>
  <si>
    <t>C008</t>
  </si>
  <si>
    <t>Candidate 8</t>
  </si>
  <si>
    <t>Service Desk/Help Desk Technician</t>
  </si>
  <si>
    <t>C009</t>
  </si>
  <si>
    <t>Candidate 9</t>
  </si>
  <si>
    <t>Finisher/Finish Carpentry</t>
  </si>
  <si>
    <t>C010</t>
  </si>
  <si>
    <t>Candidate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</si>
</sst>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4876A9-0EE2-46A5-827D-0F0B0838FA2F}" name="Table2" displayName="Table2" ref="A1:P18" totalsRowShown="0" headerRowDxfId="8" headerRowBorderDxfId="6" tableBorderDxfId="7">
  <autoFilter ref="A1:P18" xr:uid="{F08196B8-0C58-4B7D-8672-DE0D4556B6BA}"/>
  <tableColumns count="16">
    <tableColumn id="1" xr3:uid="{9E2C2DB5-D588-4BCE-A083-D599A62B9BAA}" name="Candidate ID"/>
    <tableColumn id="2" xr3:uid="{CE08F491-1058-4890-84E3-26C7A5CF8585}" name="Specialist ID"/>
    <tableColumn id="3" xr3:uid="{080D18D6-4402-46A6-9BB1-84E70BB5955B}" name="Lead Date" dataDxfId="5"/>
    <tableColumn id="4" xr3:uid="{4AC0FBA5-2A4F-4527-9940-FFDC02AE805F}" name="Offer Date" dataDxfId="4"/>
    <tableColumn id="5" xr3:uid="{698C44A7-4581-469B-AB5A-8338994F788A}" name="Candidate Name"/>
    <tableColumn id="6" xr3:uid="{EC6F9EE4-B02C-4FAF-A802-7A6DF107B524}" name="Field / Cohort"/>
    <tableColumn id="16" xr3:uid="{F8794F85-366A-4D30-9800-6B2A07C1CAED}" name="Category"/>
    <tableColumn id="7" xr3:uid="{09E46A25-7E9B-44D3-A63E-2BA4117C48C9}" name="Graduate Count"/>
    <tableColumn id="8" xr3:uid="{0B5C1D62-04CC-45FF-B15D-95230672468D}" name="Specialist"/>
    <tableColumn id="9" xr3:uid="{79D850E6-38B9-4480-BDD1-81C66366D900}" name="Status"/>
    <tableColumn id="10" xr3:uid="{C1679422-03DB-4E5C-AAD7-183DA5DE02B1}" name="Placement?"/>
    <tableColumn id="11" xr3:uid="{89C32A92-BF9F-456A-B740-65D5E40B27BC}" name="Retained 90 Days?"/>
    <tableColumn id="12" xr3:uid="{9FC4C1F8-B5FC-41F6-A8F9-D313A42D9F16}" name="Placement Flag" dataDxfId="3">
      <calculatedColumnFormula>IF(Table2[[#This Row],[Placement?]]="Yes",1,0)</calculatedColumnFormula>
    </tableColumn>
    <tableColumn id="13" xr3:uid="{A6AC7269-715C-49D7-B06D-A53F9C3A38D4}" name="Retension Flag" dataDxfId="2">
      <calculatedColumnFormula>IF(Table2[[#This Row],[Retained 90 Days?]]="Yes",1,0)</calculatedColumnFormula>
    </tableColumn>
    <tableColumn id="14" xr3:uid="{2C4DF9B3-09C1-4043-B1AC-CCFDE00D2170}" name="Cycle Time" dataDxfId="1">
      <calculatedColumnFormula>IF(Table2[[#This Row],[Offer Date]]&lt;&gt;"",Table2[[#This Row],[Offer Date]]-Table2[[#This Row],[Lead Date]],"")</calculatedColumnFormula>
    </tableColumn>
    <tableColumn id="15" xr3:uid="{445A3E7C-CAAE-4D83-8BA4-C29A45FC94D4}" name="Cohort Auto" dataDxfId="0">
      <calculatedColumnFormula>TEXT(Table2[[#This Row],[Lead Date]],"MMM-YY")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56AD-23B0-4D4E-AB56-70B159E92A95}">
  <dimension ref="A1:P18"/>
  <sheetViews>
    <sheetView tabSelected="1" workbookViewId="0">
      <selection activeCell="B28" sqref="B28"/>
    </sheetView>
  </sheetViews>
  <sheetFormatPr defaultRowHeight="14.4" x14ac:dyDescent="0.3"/>
  <cols>
    <col min="1" max="1" width="13.6640625" customWidth="1"/>
    <col min="2" max="2" width="14.33203125" customWidth="1"/>
    <col min="3" max="4" width="18.109375" bestFit="1" customWidth="1"/>
    <col min="5" max="5" width="16.88671875" customWidth="1"/>
    <col min="6" max="6" width="27.6640625" bestFit="1" customWidth="1"/>
    <col min="7" max="7" width="27.6640625" customWidth="1"/>
    <col min="8" max="8" width="16.21875" customWidth="1"/>
    <col min="9" max="9" width="14.5546875" customWidth="1"/>
    <col min="10" max="10" width="10.6640625" customWidth="1"/>
    <col min="11" max="11" width="12.6640625" customWidth="1"/>
    <col min="12" max="12" width="18.109375" customWidth="1"/>
    <col min="13" max="13" width="18.21875" bestFit="1" customWidth="1"/>
    <col min="14" max="14" width="17.6640625" bestFit="1" customWidth="1"/>
    <col min="15" max="15" width="14.44140625" bestFit="1" customWidth="1"/>
    <col min="16" max="16" width="15.777343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t="s">
        <v>16</v>
      </c>
      <c r="B2" t="s">
        <v>17</v>
      </c>
      <c r="C2" s="3">
        <v>45292</v>
      </c>
      <c r="D2" s="3">
        <v>45301</v>
      </c>
      <c r="E2" t="s">
        <v>18</v>
      </c>
      <c r="F2" t="s">
        <v>19</v>
      </c>
      <c r="G2" t="s">
        <v>20</v>
      </c>
      <c r="H2">
        <v>25</v>
      </c>
      <c r="I2" t="s">
        <v>21</v>
      </c>
      <c r="J2" t="s">
        <v>22</v>
      </c>
      <c r="K2" t="s">
        <v>23</v>
      </c>
      <c r="L2" t="s">
        <v>23</v>
      </c>
      <c r="M2">
        <f>IF(Table2[[#This Row],[Placement?]]="Yes",1,0)</f>
        <v>1</v>
      </c>
      <c r="N2">
        <f>IF(Table2[[#This Row],[Retained 90 Days?]]="Yes",1,0)</f>
        <v>1</v>
      </c>
      <c r="O2">
        <f>IF(Table2[[#This Row],[Offer Date]]&lt;&gt;"",Table2[[#This Row],[Offer Date]]-Table2[[#This Row],[Lead Date]],"")</f>
        <v>9</v>
      </c>
      <c r="P2" t="str">
        <f>TEXT(Table2[[#This Row],[Lead Date]],"MMM-YY")</f>
        <v>Jan-24</v>
      </c>
    </row>
    <row r="3" spans="1:16" x14ac:dyDescent="0.3">
      <c r="A3" t="s">
        <v>24</v>
      </c>
      <c r="B3" t="s">
        <v>25</v>
      </c>
      <c r="C3" s="3">
        <v>45299</v>
      </c>
      <c r="D3" s="3">
        <v>45308</v>
      </c>
      <c r="E3" t="s">
        <v>26</v>
      </c>
      <c r="F3" t="s">
        <v>27</v>
      </c>
      <c r="G3" t="s">
        <v>28</v>
      </c>
      <c r="H3">
        <v>25</v>
      </c>
      <c r="I3" t="s">
        <v>29</v>
      </c>
      <c r="J3" t="s">
        <v>30</v>
      </c>
      <c r="K3" t="s">
        <v>23</v>
      </c>
      <c r="L3" t="s">
        <v>31</v>
      </c>
      <c r="M3">
        <f>IF(Table2[[#This Row],[Placement?]]="Yes",1,0)</f>
        <v>1</v>
      </c>
      <c r="N3">
        <f>IF(Table2[[#This Row],[Retained 90 Days?]]="Yes",1,0)</f>
        <v>0</v>
      </c>
      <c r="O3">
        <f>IF(Table2[[#This Row],[Offer Date]]&lt;&gt;"",Table2[[#This Row],[Offer Date]]-Table2[[#This Row],[Lead Date]],"")</f>
        <v>9</v>
      </c>
      <c r="P3" t="str">
        <f>TEXT(Table2[[#This Row],[Lead Date]],"MMM-YY")</f>
        <v>Jan-24</v>
      </c>
    </row>
    <row r="4" spans="1:16" x14ac:dyDescent="0.3">
      <c r="A4" t="s">
        <v>32</v>
      </c>
      <c r="B4" t="s">
        <v>17</v>
      </c>
      <c r="C4" s="3">
        <v>45306</v>
      </c>
      <c r="D4" s="3">
        <v>45315</v>
      </c>
      <c r="E4" t="s">
        <v>33</v>
      </c>
      <c r="F4" t="s">
        <v>27</v>
      </c>
      <c r="G4" t="s">
        <v>28</v>
      </c>
      <c r="H4">
        <v>30</v>
      </c>
      <c r="I4" t="s">
        <v>21</v>
      </c>
      <c r="J4" t="s">
        <v>34</v>
      </c>
      <c r="K4" t="s">
        <v>31</v>
      </c>
      <c r="L4" t="s">
        <v>31</v>
      </c>
      <c r="M4">
        <f>IF(Table2[[#This Row],[Placement?]]="Yes",1,0)</f>
        <v>0</v>
      </c>
      <c r="N4">
        <f>IF(Table2[[#This Row],[Retained 90 Days?]]="Yes",1,0)</f>
        <v>0</v>
      </c>
      <c r="O4">
        <f>IF(Table2[[#This Row],[Offer Date]]&lt;&gt;"",Table2[[#This Row],[Offer Date]]-Table2[[#This Row],[Lead Date]],"")</f>
        <v>9</v>
      </c>
      <c r="P4" t="str">
        <f>TEXT(Table2[[#This Row],[Lead Date]],"MMM-YY")</f>
        <v>Jan-24</v>
      </c>
    </row>
    <row r="5" spans="1:16" x14ac:dyDescent="0.3">
      <c r="A5" t="s">
        <v>35</v>
      </c>
      <c r="B5" t="s">
        <v>36</v>
      </c>
      <c r="C5" s="3">
        <v>45313</v>
      </c>
      <c r="D5" s="3">
        <v>45322</v>
      </c>
      <c r="E5" t="s">
        <v>37</v>
      </c>
      <c r="F5" t="s">
        <v>19</v>
      </c>
      <c r="G5" t="s">
        <v>38</v>
      </c>
      <c r="H5">
        <v>30</v>
      </c>
      <c r="I5" t="s">
        <v>39</v>
      </c>
      <c r="J5" t="s">
        <v>40</v>
      </c>
      <c r="K5" t="s">
        <v>23</v>
      </c>
      <c r="L5" t="s">
        <v>23</v>
      </c>
      <c r="M5">
        <f>IF(Table2[[#This Row],[Placement?]]="Yes",1,0)</f>
        <v>1</v>
      </c>
      <c r="N5">
        <f>IF(Table2[[#This Row],[Retained 90 Days?]]="Yes",1,0)</f>
        <v>1</v>
      </c>
      <c r="O5">
        <f>IF(Table2[[#This Row],[Offer Date]]&lt;&gt;"",Table2[[#This Row],[Offer Date]]-Table2[[#This Row],[Lead Date]],"")</f>
        <v>9</v>
      </c>
      <c r="P5" t="str">
        <f>TEXT(Table2[[#This Row],[Lead Date]],"MMM-YY")</f>
        <v>Jan-24</v>
      </c>
    </row>
    <row r="6" spans="1:16" x14ac:dyDescent="0.3">
      <c r="A6" t="s">
        <v>41</v>
      </c>
      <c r="B6" t="s">
        <v>25</v>
      </c>
      <c r="C6" s="3">
        <v>45320</v>
      </c>
      <c r="D6" s="3">
        <v>45329</v>
      </c>
      <c r="E6" t="s">
        <v>42</v>
      </c>
      <c r="F6" t="s">
        <v>43</v>
      </c>
      <c r="G6" t="s">
        <v>44</v>
      </c>
      <c r="H6">
        <v>20</v>
      </c>
      <c r="I6" t="s">
        <v>29</v>
      </c>
      <c r="J6" t="s">
        <v>45</v>
      </c>
      <c r="K6" t="s">
        <v>23</v>
      </c>
      <c r="L6" t="s">
        <v>23</v>
      </c>
      <c r="M6">
        <f>IF(Table2[[#This Row],[Placement?]]="Yes",1,0)</f>
        <v>1</v>
      </c>
      <c r="N6">
        <f>IF(Table2[[#This Row],[Retained 90 Days?]]="Yes",1,0)</f>
        <v>1</v>
      </c>
      <c r="O6">
        <f>IF(Table2[[#This Row],[Offer Date]]&lt;&gt;"",Table2[[#This Row],[Offer Date]]-Table2[[#This Row],[Lead Date]],"")</f>
        <v>9</v>
      </c>
      <c r="P6" t="str">
        <f>TEXT(Table2[[#This Row],[Lead Date]],"MMM-YY")</f>
        <v>Jan-24</v>
      </c>
    </row>
    <row r="7" spans="1:16" x14ac:dyDescent="0.3">
      <c r="A7" t="s">
        <v>46</v>
      </c>
      <c r="B7" t="s">
        <v>17</v>
      </c>
      <c r="C7" s="3">
        <v>45327</v>
      </c>
      <c r="D7" s="3">
        <v>45336</v>
      </c>
      <c r="E7" t="s">
        <v>47</v>
      </c>
      <c r="F7" t="s">
        <v>48</v>
      </c>
      <c r="G7" t="s">
        <v>49</v>
      </c>
      <c r="H7">
        <v>20</v>
      </c>
      <c r="I7" t="s">
        <v>21</v>
      </c>
      <c r="J7" t="s">
        <v>30</v>
      </c>
      <c r="K7" t="s">
        <v>31</v>
      </c>
      <c r="L7" t="s">
        <v>31</v>
      </c>
      <c r="M7">
        <f>IF(Table2[[#This Row],[Placement?]]="Yes",1,0)</f>
        <v>0</v>
      </c>
      <c r="N7">
        <f>IF(Table2[[#This Row],[Retained 90 Days?]]="Yes",1,0)</f>
        <v>0</v>
      </c>
      <c r="O7">
        <f>IF(Table2[[#This Row],[Offer Date]]&lt;&gt;"",Table2[[#This Row],[Offer Date]]-Table2[[#This Row],[Lead Date]],"")</f>
        <v>9</v>
      </c>
      <c r="P7" t="str">
        <f>TEXT(Table2[[#This Row],[Lead Date]],"MMM-YY")</f>
        <v>Feb-24</v>
      </c>
    </row>
    <row r="8" spans="1:16" x14ac:dyDescent="0.3">
      <c r="A8" t="s">
        <v>50</v>
      </c>
      <c r="B8" t="s">
        <v>36</v>
      </c>
      <c r="C8" s="3">
        <v>45334</v>
      </c>
      <c r="D8" s="3">
        <v>45343</v>
      </c>
      <c r="E8" t="s">
        <v>51</v>
      </c>
      <c r="F8" t="s">
        <v>52</v>
      </c>
      <c r="G8" t="s">
        <v>53</v>
      </c>
      <c r="H8">
        <v>28</v>
      </c>
      <c r="I8" t="s">
        <v>39</v>
      </c>
      <c r="J8" t="s">
        <v>34</v>
      </c>
      <c r="K8" t="s">
        <v>23</v>
      </c>
      <c r="L8" t="s">
        <v>23</v>
      </c>
      <c r="M8">
        <f>IF(Table2[[#This Row],[Placement?]]="Yes",1,0)</f>
        <v>1</v>
      </c>
      <c r="N8">
        <f>IF(Table2[[#This Row],[Retained 90 Days?]]="Yes",1,0)</f>
        <v>1</v>
      </c>
      <c r="O8">
        <f>IF(Table2[[#This Row],[Offer Date]]&lt;&gt;"",Table2[[#This Row],[Offer Date]]-Table2[[#This Row],[Lead Date]],"")</f>
        <v>9</v>
      </c>
      <c r="P8" t="str">
        <f>TEXT(Table2[[#This Row],[Lead Date]],"MMM-YY")</f>
        <v>Feb-24</v>
      </c>
    </row>
    <row r="9" spans="1:16" x14ac:dyDescent="0.3">
      <c r="A9" t="s">
        <v>54</v>
      </c>
      <c r="B9" t="s">
        <v>17</v>
      </c>
      <c r="C9" s="3">
        <v>45341</v>
      </c>
      <c r="D9" s="3">
        <v>45350</v>
      </c>
      <c r="E9" t="s">
        <v>55</v>
      </c>
      <c r="F9" t="s">
        <v>27</v>
      </c>
      <c r="G9" t="s">
        <v>56</v>
      </c>
      <c r="H9">
        <v>28</v>
      </c>
      <c r="I9" t="s">
        <v>21</v>
      </c>
      <c r="J9" t="s">
        <v>45</v>
      </c>
      <c r="K9" t="s">
        <v>31</v>
      </c>
      <c r="L9" t="s">
        <v>31</v>
      </c>
      <c r="M9">
        <f>IF(Table2[[#This Row],[Placement?]]="Yes",1,0)</f>
        <v>0</v>
      </c>
      <c r="N9">
        <f>IF(Table2[[#This Row],[Retained 90 Days?]]="Yes",1,0)</f>
        <v>0</v>
      </c>
      <c r="O9">
        <f>IF(Table2[[#This Row],[Offer Date]]&lt;&gt;"",Table2[[#This Row],[Offer Date]]-Table2[[#This Row],[Lead Date]],"")</f>
        <v>9</v>
      </c>
      <c r="P9" t="str">
        <f>TEXT(Table2[[#This Row],[Lead Date]],"MMM-YY")</f>
        <v>Feb-24</v>
      </c>
    </row>
    <row r="10" spans="1:16" x14ac:dyDescent="0.3">
      <c r="A10" t="s">
        <v>57</v>
      </c>
      <c r="B10" t="s">
        <v>25</v>
      </c>
      <c r="C10" s="3">
        <v>45348</v>
      </c>
      <c r="D10" s="3">
        <v>45357</v>
      </c>
      <c r="E10" t="s">
        <v>58</v>
      </c>
      <c r="F10" t="s">
        <v>19</v>
      </c>
      <c r="G10" t="s">
        <v>59</v>
      </c>
      <c r="H10">
        <v>32</v>
      </c>
      <c r="I10" t="s">
        <v>29</v>
      </c>
      <c r="J10" t="s">
        <v>40</v>
      </c>
      <c r="K10" t="s">
        <v>23</v>
      </c>
      <c r="L10" t="s">
        <v>23</v>
      </c>
      <c r="M10">
        <f>IF(Table2[[#This Row],[Placement?]]="Yes",1,0)</f>
        <v>1</v>
      </c>
      <c r="N10">
        <f>IF(Table2[[#This Row],[Retained 90 Days?]]="Yes",1,0)</f>
        <v>1</v>
      </c>
      <c r="O10">
        <f>IF(Table2[[#This Row],[Offer Date]]&lt;&gt;"",Table2[[#This Row],[Offer Date]]-Table2[[#This Row],[Lead Date]],"")</f>
        <v>9</v>
      </c>
      <c r="P10" t="str">
        <f>TEXT(Table2[[#This Row],[Lead Date]],"MMM-YY")</f>
        <v>Feb-24</v>
      </c>
    </row>
    <row r="11" spans="1:16" x14ac:dyDescent="0.3">
      <c r="A11" t="s">
        <v>60</v>
      </c>
      <c r="B11" t="s">
        <v>36</v>
      </c>
      <c r="C11" s="3">
        <v>45348</v>
      </c>
      <c r="D11" s="3">
        <v>45357</v>
      </c>
      <c r="E11" t="s">
        <v>61</v>
      </c>
      <c r="F11" t="s">
        <v>19</v>
      </c>
      <c r="G11" t="s">
        <v>20</v>
      </c>
      <c r="H11">
        <v>32</v>
      </c>
      <c r="I11" t="s">
        <v>39</v>
      </c>
      <c r="J11" t="s">
        <v>22</v>
      </c>
      <c r="K11" t="s">
        <v>31</v>
      </c>
      <c r="L11" t="s">
        <v>31</v>
      </c>
      <c r="M11">
        <f>IF(Table2[[#This Row],[Placement?]]="Yes",1,0)</f>
        <v>0</v>
      </c>
      <c r="N11">
        <f>IF(Table2[[#This Row],[Retained 90 Days?]]="Yes",1,0)</f>
        <v>0</v>
      </c>
      <c r="O11">
        <f>IF(Table2[[#This Row],[Offer Date]]&lt;&gt;"",Table2[[#This Row],[Offer Date]]-Table2[[#This Row],[Lead Date]],"")</f>
        <v>9</v>
      </c>
      <c r="P11" t="str">
        <f>TEXT(Table2[[#This Row],[Lead Date]],"MMM-YY")</f>
        <v>Feb-24</v>
      </c>
    </row>
    <row r="12" spans="1:16" x14ac:dyDescent="0.3">
      <c r="A12" t="s">
        <v>35</v>
      </c>
      <c r="B12" t="s">
        <v>36</v>
      </c>
      <c r="C12" s="3">
        <v>45313</v>
      </c>
      <c r="D12" s="3">
        <v>45322</v>
      </c>
      <c r="E12" t="s">
        <v>37</v>
      </c>
      <c r="F12" t="s">
        <v>19</v>
      </c>
      <c r="G12" t="s">
        <v>38</v>
      </c>
      <c r="H12">
        <v>30</v>
      </c>
      <c r="I12" t="s">
        <v>39</v>
      </c>
      <c r="J12" t="s">
        <v>40</v>
      </c>
      <c r="K12" t="s">
        <v>23</v>
      </c>
      <c r="L12" t="s">
        <v>23</v>
      </c>
      <c r="M12">
        <f>IF(Table2[[#This Row],[Placement?]]="Yes",1,0)</f>
        <v>1</v>
      </c>
      <c r="N12">
        <f>IF(Table2[[#This Row],[Retained 90 Days?]]="Yes",1,0)</f>
        <v>1</v>
      </c>
      <c r="O12">
        <f>IF(Table2[[#This Row],[Offer Date]]&lt;&gt;"",Table2[[#This Row],[Offer Date]]-Table2[[#This Row],[Lead Date]],"")</f>
        <v>9</v>
      </c>
      <c r="P12" t="str">
        <f>TEXT(Table2[[#This Row],[Lead Date]],"MMM-YY")</f>
        <v>Jan-24</v>
      </c>
    </row>
    <row r="13" spans="1:16" x14ac:dyDescent="0.3">
      <c r="A13" t="s">
        <v>41</v>
      </c>
      <c r="B13" t="s">
        <v>25</v>
      </c>
      <c r="C13" s="3">
        <v>45320</v>
      </c>
      <c r="D13" s="3">
        <v>45329</v>
      </c>
      <c r="E13" t="s">
        <v>42</v>
      </c>
      <c r="F13" t="s">
        <v>43</v>
      </c>
      <c r="G13" t="s">
        <v>44</v>
      </c>
      <c r="H13">
        <v>20</v>
      </c>
      <c r="I13" t="s">
        <v>29</v>
      </c>
      <c r="J13" t="s">
        <v>45</v>
      </c>
      <c r="K13" t="s">
        <v>23</v>
      </c>
      <c r="L13" t="s">
        <v>23</v>
      </c>
      <c r="M13">
        <f>IF(Table2[[#This Row],[Placement?]]="Yes",1,0)</f>
        <v>1</v>
      </c>
      <c r="N13">
        <f>IF(Table2[[#This Row],[Retained 90 Days?]]="Yes",1,0)</f>
        <v>1</v>
      </c>
      <c r="O13">
        <f>IF(Table2[[#This Row],[Offer Date]]&lt;&gt;"",Table2[[#This Row],[Offer Date]]-Table2[[#This Row],[Lead Date]],"")</f>
        <v>9</v>
      </c>
      <c r="P13" t="str">
        <f>TEXT(Table2[[#This Row],[Lead Date]],"MMM-YY")</f>
        <v>Jan-24</v>
      </c>
    </row>
    <row r="14" spans="1:16" x14ac:dyDescent="0.3">
      <c r="A14" t="s">
        <v>46</v>
      </c>
      <c r="B14" t="s">
        <v>17</v>
      </c>
      <c r="C14" s="3">
        <v>45327</v>
      </c>
      <c r="D14" s="3">
        <v>45336</v>
      </c>
      <c r="E14" t="s">
        <v>47</v>
      </c>
      <c r="F14" t="s">
        <v>48</v>
      </c>
      <c r="G14" t="s">
        <v>49</v>
      </c>
      <c r="H14">
        <v>20</v>
      </c>
      <c r="I14" t="s">
        <v>21</v>
      </c>
      <c r="J14" t="s">
        <v>30</v>
      </c>
      <c r="K14" t="s">
        <v>31</v>
      </c>
      <c r="L14" t="s">
        <v>31</v>
      </c>
      <c r="M14">
        <f>IF(Table2[[#This Row],[Placement?]]="Yes",1,0)</f>
        <v>0</v>
      </c>
      <c r="N14">
        <f>IF(Table2[[#This Row],[Retained 90 Days?]]="Yes",1,0)</f>
        <v>0</v>
      </c>
      <c r="O14">
        <f>IF(Table2[[#This Row],[Offer Date]]&lt;&gt;"",Table2[[#This Row],[Offer Date]]-Table2[[#This Row],[Lead Date]],"")</f>
        <v>9</v>
      </c>
      <c r="P14" t="str">
        <f>TEXT(Table2[[#This Row],[Lead Date]],"MMM-YY")</f>
        <v>Feb-24</v>
      </c>
    </row>
    <row r="15" spans="1:16" x14ac:dyDescent="0.3">
      <c r="A15" t="s">
        <v>50</v>
      </c>
      <c r="B15" t="s">
        <v>36</v>
      </c>
      <c r="C15" s="3">
        <v>45334</v>
      </c>
      <c r="D15" s="3">
        <v>45343</v>
      </c>
      <c r="E15" t="s">
        <v>51</v>
      </c>
      <c r="F15" t="s">
        <v>52</v>
      </c>
      <c r="G15" t="s">
        <v>53</v>
      </c>
      <c r="H15">
        <v>28</v>
      </c>
      <c r="I15" t="s">
        <v>39</v>
      </c>
      <c r="J15" t="s">
        <v>34</v>
      </c>
      <c r="K15" t="s">
        <v>23</v>
      </c>
      <c r="L15" t="s">
        <v>23</v>
      </c>
      <c r="M15">
        <f>IF(Table2[[#This Row],[Placement?]]="Yes",1,0)</f>
        <v>1</v>
      </c>
      <c r="N15">
        <f>IF(Table2[[#This Row],[Retained 90 Days?]]="Yes",1,0)</f>
        <v>1</v>
      </c>
      <c r="O15">
        <f>IF(Table2[[#This Row],[Offer Date]]&lt;&gt;"",Table2[[#This Row],[Offer Date]]-Table2[[#This Row],[Lead Date]],"")</f>
        <v>9</v>
      </c>
      <c r="P15" t="str">
        <f>TEXT(Table2[[#This Row],[Lead Date]],"MMM-YY")</f>
        <v>Feb-24</v>
      </c>
    </row>
    <row r="16" spans="1:16" x14ac:dyDescent="0.3">
      <c r="A16" t="s">
        <v>54</v>
      </c>
      <c r="B16" t="s">
        <v>17</v>
      </c>
      <c r="C16" s="3">
        <v>45341</v>
      </c>
      <c r="D16" s="3">
        <v>45350</v>
      </c>
      <c r="E16" t="s">
        <v>55</v>
      </c>
      <c r="F16" t="s">
        <v>27</v>
      </c>
      <c r="G16" t="s">
        <v>56</v>
      </c>
      <c r="H16">
        <v>28</v>
      </c>
      <c r="I16" t="s">
        <v>21</v>
      </c>
      <c r="J16" t="s">
        <v>45</v>
      </c>
      <c r="K16" t="s">
        <v>31</v>
      </c>
      <c r="L16" t="s">
        <v>31</v>
      </c>
      <c r="M16">
        <f>IF(Table2[[#This Row],[Placement?]]="Yes",1,0)</f>
        <v>0</v>
      </c>
      <c r="N16">
        <f>IF(Table2[[#This Row],[Retained 90 Days?]]="Yes",1,0)</f>
        <v>0</v>
      </c>
      <c r="O16">
        <f>IF(Table2[[#This Row],[Offer Date]]&lt;&gt;"",Table2[[#This Row],[Offer Date]]-Table2[[#This Row],[Lead Date]],"")</f>
        <v>9</v>
      </c>
      <c r="P16" t="str">
        <f>TEXT(Table2[[#This Row],[Lead Date]],"MMM-YY")</f>
        <v>Feb-24</v>
      </c>
    </row>
    <row r="17" spans="1:16" x14ac:dyDescent="0.3">
      <c r="A17" t="s">
        <v>57</v>
      </c>
      <c r="B17" t="s">
        <v>25</v>
      </c>
      <c r="C17" s="3">
        <v>45348</v>
      </c>
      <c r="D17" s="3">
        <v>45357</v>
      </c>
      <c r="E17" t="s">
        <v>58</v>
      </c>
      <c r="F17" t="s">
        <v>19</v>
      </c>
      <c r="G17" t="s">
        <v>59</v>
      </c>
      <c r="H17">
        <v>32</v>
      </c>
      <c r="I17" t="s">
        <v>29</v>
      </c>
      <c r="J17" t="s">
        <v>40</v>
      </c>
      <c r="K17" t="s">
        <v>23</v>
      </c>
      <c r="L17" t="s">
        <v>23</v>
      </c>
      <c r="M17">
        <f>IF(Table2[[#This Row],[Placement?]]="Yes",1,0)</f>
        <v>1</v>
      </c>
      <c r="N17">
        <f>IF(Table2[[#This Row],[Retained 90 Days?]]="Yes",1,0)</f>
        <v>1</v>
      </c>
      <c r="O17">
        <f>IF(Table2[[#This Row],[Offer Date]]&lt;&gt;"",Table2[[#This Row],[Offer Date]]-Table2[[#This Row],[Lead Date]],"")</f>
        <v>9</v>
      </c>
      <c r="P17" t="str">
        <f>TEXT(Table2[[#This Row],[Lead Date]],"MMM-YY")</f>
        <v>Feb-24</v>
      </c>
    </row>
    <row r="18" spans="1:16" x14ac:dyDescent="0.3">
      <c r="A18" t="s">
        <v>60</v>
      </c>
      <c r="B18" t="s">
        <v>36</v>
      </c>
      <c r="C18" s="3">
        <v>45348</v>
      </c>
      <c r="D18" s="3">
        <v>45357</v>
      </c>
      <c r="E18" t="s">
        <v>61</v>
      </c>
      <c r="F18" t="s">
        <v>19</v>
      </c>
      <c r="G18" t="s">
        <v>20</v>
      </c>
      <c r="H18">
        <v>32</v>
      </c>
      <c r="I18" t="s">
        <v>39</v>
      </c>
      <c r="J18" t="s">
        <v>22</v>
      </c>
      <c r="K18" t="s">
        <v>31</v>
      </c>
      <c r="L18" t="s">
        <v>31</v>
      </c>
      <c r="M18">
        <f>IF(Table2[[#This Row],[Placement?]]="Yes",1,0)</f>
        <v>0</v>
      </c>
      <c r="N18">
        <f>IF(Table2[[#This Row],[Retained 90 Days?]]="Yes",1,0)</f>
        <v>0</v>
      </c>
      <c r="O18">
        <f>IF(Table2[[#This Row],[Offer Date]]&lt;&gt;"",Table2[[#This Row],[Offer Date]]-Table2[[#This Row],[Lead Date]],"")</f>
        <v>9</v>
      </c>
      <c r="P18" t="str">
        <f>TEXT(Table2[[#This Row],[Lead Date]],"MMM-YY")</f>
        <v>Feb-24</v>
      </c>
    </row>
  </sheetData>
  <dataValidations count="1">
    <dataValidation type="list" allowBlank="1" showInputMessage="1" showErrorMessage="1" sqref="G2:G18" xr:uid="{377A7145-8D34-41A5-B936-353A36BE148E}">
      <formula1>INDIRECT($F2)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</dc:creator>
  <cp:lastModifiedBy>mohit kumar</cp:lastModifiedBy>
  <dcterms:created xsi:type="dcterms:W3CDTF">2025-12-17T15:35:41Z</dcterms:created>
  <dcterms:modified xsi:type="dcterms:W3CDTF">2025-12-17T15:36:21Z</dcterms:modified>
</cp:coreProperties>
</file>